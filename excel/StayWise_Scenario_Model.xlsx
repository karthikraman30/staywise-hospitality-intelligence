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ntrol Panel" sheetId="2" r:id="rId2"/>
    <sheet name="Base Metrics" sheetId="3" r:id="rId3"/>
    <sheet name="Scenarios" sheetId="4" r:id="rId4"/>
    <sheet name="Sensitivity" sheetId="5" r:id="rId5"/>
    <sheet name="Intervention Backlog" sheetId="6" r:id="rId6"/>
  </sheets>
  <calcPr calcMode="auto" fullCalcOnLoad="1" forceFullCalc="1"/>
</workbook>
</file>

<file path=xl/styles.xml><?xml version="1.0" encoding="utf-8"?>
<styleSheet xmlns="http://schemas.openxmlformats.org/spreadsheetml/2006/main">
  <fonts count="5">
    <font>
      <sz val="11"/>
      <color rgb="FF000000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b/>
      <sz val="14"/>
      <color rgb="FF1F29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4" fontId="0" fillId="0" borderId="0" xfId="0" applyNumberFormat="1"/>
    <xf numFmtId="10" fontId="0" fillId="0" borderId="0" xfId="0" applyNumberFormat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4">
        <is>
          <t>StayWise Scenario Model</t>
        </is>
      </c>
    </row>
    <row r="2">
      <c r="A2" t="inlineStr" s="1">
        <is>
          <t>Purpose</t>
        </is>
      </c>
      <c r="B2" t="inlineStr">
        <is>
          <t>Evaluate cancellation, ADR, occupancy, and channel-mix interventions.</t>
        </is>
      </c>
    </row>
    <row r="3">
      <c r="A3" t="inlineStr" s="1">
        <is>
          <t>Source</t>
        </is>
      </c>
      <c r="B3" t="inlineStr">
        <is>
          <t>Generated from StayWise public hotel booking data plus synthetic operating context.</t>
        </is>
      </c>
    </row>
    <row r="4">
      <c r="A4" t="inlineStr" s="1">
        <is>
          <t>Input convention</t>
        </is>
      </c>
      <c r="B4" t="inlineStr">
        <is>
          <t>Blue text with yellow fill marks user-changeable assumptions.</t>
        </is>
      </c>
    </row>
    <row r="5">
      <c r="A5" t="inlineStr" s="1">
        <is>
          <t>Formula convention</t>
        </is>
      </c>
      <c r="B5" t="inlineStr">
        <is>
          <t>Scenario calculations use Excel formulas so the model remains editable.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4">
        <is>
          <t>StayWise Scenario Control Panel</t>
        </is>
      </c>
      <c r="B1" t="inlineStr">
        <is>
          <t/>
        </is>
      </c>
      <c r="C1" t="inlineStr">
        <is>
          <t/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Notes</t>
        </is>
      </c>
    </row>
    <row r="3">
      <c r="A3" t="inlineStr">
        <is>
          <t>Cancellation reduction</t>
        </is>
      </c>
      <c r="B3" s="2">
        <v>0.05</v>
      </c>
      <c r="C3" t="inlineStr">
        <is>
          <t>Blue/yellow inputs are scenario assumptions</t>
        </is>
      </c>
    </row>
    <row r="4">
      <c r="A4" t="inlineStr">
        <is>
          <t>ADR uplift</t>
        </is>
      </c>
      <c r="B4" s="2">
        <v>0.03</v>
      </c>
      <c r="C4" t="inlineStr">
        <is>
          <t>User can change this assumption</t>
        </is>
      </c>
    </row>
    <row r="5">
      <c r="A5" t="inlineStr">
        <is>
          <t>Occupancy uplift</t>
        </is>
      </c>
      <c r="B5" s="2">
        <v>0.02</v>
      </c>
      <c r="C5" t="inlineStr">
        <is>
          <t>User can change this assumption</t>
        </is>
      </c>
    </row>
    <row r="6">
      <c r="A6" t="inlineStr">
        <is>
          <t>Channel mix improvement</t>
        </is>
      </c>
      <c r="B6" s="2">
        <v>0.04</v>
      </c>
      <c r="C6" t="inlineStr">
        <is>
          <t>Share of commission cost that can be reduced</t>
        </is>
      </c>
    </row>
    <row r="7">
      <c r="A7" t="inlineStr">
        <is>
          <t>Base realized revenue</t>
        </is>
      </c>
      <c r="B7" s="3">
        <f>'Base Metrics'!B2</f>
      </c>
      <c r="C7" t="inlineStr">
        <is>
          <t>Linked from Base Metrics</t>
        </is>
      </c>
    </row>
    <row r="8">
      <c r="A8" t="inlineStr">
        <is>
          <t>Base lost revenue</t>
        </is>
      </c>
      <c r="B8" s="3">
        <f>'Base Metrics'!B4</f>
      </c>
      <c r="C8" t="inlineStr">
        <is>
          <t>Linked from Base Metrics</t>
        </is>
      </c>
    </row>
    <row r="9">
      <c r="A9" t="inlineStr">
        <is>
          <t>Base commission cost</t>
        </is>
      </c>
      <c r="B9" s="3">
        <f>'Base Metrics'!B9</f>
      </c>
      <c r="C9" t="inlineStr">
        <is>
          <t>Linked from Base Metrics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1">
        <is>
          <t>Metric</t>
        </is>
      </c>
      <c r="B1" t="inlineStr" s="1">
        <is>
          <t>Value</t>
        </is>
      </c>
      <c r="C1" t="inlineStr" s="1">
        <is>
          <t>Source / Definition</t>
        </is>
      </c>
    </row>
    <row r="2">
      <c r="A2" t="inlineStr">
        <is>
          <t>Realized Revenue</t>
        </is>
      </c>
      <c r="B2" s="5">
        <v>29064010.59</v>
      </c>
      <c r="C2" t="inlineStr">
        <is>
          <t>Stay revenue plus retained cancellation fee revenue</t>
        </is>
      </c>
    </row>
    <row r="3">
      <c r="A3" t="inlineStr">
        <is>
          <t>Stay Revenue</t>
        </is>
      </c>
      <c r="B3" s="5">
        <v>25996324.21</v>
      </c>
      <c r="C3" t="inlineStr">
        <is>
          <t>Room revenue from non-canceled stays</t>
        </is>
      </c>
    </row>
    <row r="4">
      <c r="A4" t="inlineStr">
        <is>
          <t>Potential Revenue</t>
        </is>
      </c>
      <c r="B4" s="5">
        <v>42723561.33</v>
      </c>
      <c r="C4" t="inlineStr">
        <is>
          <t>All booking value before cancellation loss</t>
        </is>
      </c>
    </row>
    <row r="5">
      <c r="A5" t="inlineStr">
        <is>
          <t>Lost Revenue</t>
        </is>
      </c>
      <c r="B5" s="5">
        <v>13659550.74</v>
      </c>
      <c r="C5" t="inlineStr">
        <is>
          <t>Canceled booking value after deposit recovery</t>
        </is>
      </c>
    </row>
    <row r="6">
      <c r="A6" t="inlineStr">
        <is>
          <t>Net Revenue</t>
        </is>
      </c>
      <c r="B6" s="5">
        <v>24677691.54</v>
      </c>
      <c r="C6" t="inlineStr">
        <is>
          <t>Realized revenue less estimated channel commission</t>
        </is>
      </c>
    </row>
    <row r="7">
      <c r="A7" t="inlineStr">
        <is>
          <t>Cancellation Rate</t>
        </is>
      </c>
      <c r="B7" s="6">
        <v>0.3704</v>
      </c>
      <c r="C7" t="inlineStr">
        <is>
          <t>Canceled bookings / total bookings</t>
        </is>
      </c>
    </row>
    <row r="8">
      <c r="A8" t="inlineStr">
        <is>
          <t>Occupancy Rate</t>
        </is>
      </c>
      <c r="B8" s="6">
        <v>0.4432</v>
      </c>
      <c r="C8" t="inlineStr">
        <is>
          <t>Realized room nights / available room nights</t>
        </is>
      </c>
    </row>
    <row r="9">
      <c r="A9" t="inlineStr">
        <is>
          <t>Commission Cost</t>
        </is>
      </c>
      <c r="B9" s="5">
        <v>4386314.88</v>
      </c>
      <c r="C9" t="inlineStr">
        <is>
          <t>Estimated channel cost from synthetic rates</t>
        </is>
      </c>
    </row>
    <row r="10">
      <c r="A10" t="inlineStr">
        <is>
          <t>Cancellation Fee Revenue</t>
        </is>
      </c>
      <c r="B10" s="5">
        <v>3067686.38</v>
      </c>
      <c r="C10" t="inlineStr">
        <is>
          <t>Synthetic retained cancellation fee from deposit rules</t>
        </is>
      </c>
    </row>
    <row r="11">
      <c r="A11" t="inlineStr">
        <is>
          <t>RevPAR</t>
        </is>
      </c>
      <c r="B11" s="5">
        <v>50.37</v>
      </c>
      <c r="C11" t="inlineStr">
        <is>
          <t>Realized revenue / available room nights</t>
        </is>
      </c>
    </row>
    <row r="12">
      <c r="A12" t="inlineStr">
        <is>
          <t>Net RevPAR</t>
        </is>
      </c>
      <c r="B12" s="5">
        <v>42.77</v>
      </c>
      <c r="C12" t="inlineStr">
        <is>
          <t>Net revenue / available room nights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1">
        <is>
          <t>Scenario</t>
        </is>
      </c>
      <c r="B1" t="inlineStr" s="1">
        <is>
          <t>Cancellation Reduction</t>
        </is>
      </c>
      <c r="C1" t="inlineStr" s="1">
        <is>
          <t>ADR Uplift</t>
        </is>
      </c>
      <c r="D1" t="inlineStr" s="1">
        <is>
          <t>Occupancy Uplift</t>
        </is>
      </c>
      <c r="E1" t="inlineStr" s="1">
        <is>
          <t>Channel Mix Improvement</t>
        </is>
      </c>
      <c r="F1" t="inlineStr" s="1">
        <is>
          <t>Recovered Revenue</t>
        </is>
      </c>
      <c r="G1" t="inlineStr" s="1">
        <is>
          <t>ADR Impact</t>
        </is>
      </c>
      <c r="H1" t="inlineStr" s="1">
        <is>
          <t>Occupancy Impact</t>
        </is>
      </c>
      <c r="I1" t="inlineStr" s="1">
        <is>
          <t>Channel Cost Savings</t>
        </is>
      </c>
      <c r="J1" t="inlineStr" s="1">
        <is>
          <t>Total Incremental Revenue</t>
        </is>
      </c>
      <c r="K1" t="inlineStr" s="1">
        <is>
          <t>New Revenue</t>
        </is>
      </c>
      <c r="L1" t="inlineStr" s="1">
        <is>
          <t>Revenue Lift</t>
        </is>
      </c>
    </row>
    <row r="2">
      <c r="A2" t="inlineStr">
        <is>
          <t>Base</t>
        </is>
      </c>
      <c r="B2" s="2">
        <v>0.0</v>
      </c>
      <c r="C2" s="2">
        <v>0.0</v>
      </c>
      <c r="D2" s="2">
        <v>0.0</v>
      </c>
      <c r="E2" s="2">
        <v>0.0</v>
      </c>
      <c r="F2">
        <f>'Base Metrics'!$B$5*B2</f>
      </c>
      <c r="G2">
        <f>'Base Metrics'!$B$2*C2</f>
      </c>
      <c r="H2">
        <f>'Base Metrics'!$B$2*D2</f>
      </c>
      <c r="I2">
        <f>'Base Metrics'!$B$9*E2</f>
      </c>
      <c r="J2" s="5">
        <f>SUM(F2:I2)</f>
      </c>
      <c r="K2" s="5">
        <f>'Base Metrics'!$B$2+J2</f>
      </c>
      <c r="L2" s="6">
        <f>J2/'Base Metrics'!$B$2</f>
      </c>
    </row>
    <row r="3">
      <c r="A3" t="inlineStr">
        <is>
          <t>Conservative</t>
        </is>
      </c>
      <c r="B3" s="2">
        <v>0.03</v>
      </c>
      <c r="C3" s="2">
        <v>0.01</v>
      </c>
      <c r="D3" s="2">
        <v>0.01</v>
      </c>
      <c r="E3" s="2">
        <v>0.02</v>
      </c>
      <c r="F3">
        <f>'Base Metrics'!$B$5*B3</f>
      </c>
      <c r="G3">
        <f>'Base Metrics'!$B$2*C3</f>
      </c>
      <c r="H3">
        <f>'Base Metrics'!$B$2*D3</f>
      </c>
      <c r="I3">
        <f>'Base Metrics'!$B$9*E3</f>
      </c>
      <c r="J3" s="5">
        <f>SUM(F3:I3)</f>
      </c>
      <c r="K3" s="5">
        <f>'Base Metrics'!$B$2+J3</f>
      </c>
      <c r="L3" s="6">
        <f>J3/'Base Metrics'!$B$2</f>
      </c>
    </row>
    <row r="4">
      <c r="A4" t="inlineStr">
        <is>
          <t>Expected</t>
        </is>
      </c>
      <c r="B4" s="2">
        <v>0.05</v>
      </c>
      <c r="C4" s="2">
        <v>0.03</v>
      </c>
      <c r="D4" s="2">
        <v>0.02</v>
      </c>
      <c r="E4" s="2">
        <v>0.04</v>
      </c>
      <c r="F4">
        <f>'Base Metrics'!$B$5*B4</f>
      </c>
      <c r="G4">
        <f>'Base Metrics'!$B$2*C4</f>
      </c>
      <c r="H4">
        <f>'Base Metrics'!$B$2*D4</f>
      </c>
      <c r="I4">
        <f>'Base Metrics'!$B$9*E4</f>
      </c>
      <c r="J4" s="5">
        <f>SUM(F4:I4)</f>
      </c>
      <c r="K4" s="5">
        <f>'Base Metrics'!$B$2+J4</f>
      </c>
      <c r="L4" s="6">
        <f>J4/'Base Metrics'!$B$2</f>
      </c>
    </row>
    <row r="5">
      <c r="A5" t="inlineStr">
        <is>
          <t>Aggressive</t>
        </is>
      </c>
      <c r="B5" s="2">
        <v>0.08</v>
      </c>
      <c r="C5" s="2">
        <v>0.05</v>
      </c>
      <c r="D5" s="2">
        <v>0.04</v>
      </c>
      <c r="E5" s="2">
        <v>0.07</v>
      </c>
      <c r="F5">
        <f>'Base Metrics'!$B$5*B5</f>
      </c>
      <c r="G5">
        <f>'Base Metrics'!$B$2*C5</f>
      </c>
      <c r="H5">
        <f>'Base Metrics'!$B$2*D5</f>
      </c>
      <c r="I5">
        <f>'Base Metrics'!$B$9*E5</f>
      </c>
      <c r="J5" s="5">
        <f>SUM(F5:I5)</f>
      </c>
      <c r="K5" s="5">
        <f>'Base Metrics'!$B$2+J5</f>
      </c>
      <c r="L5" s="6">
        <f>J5/'Base Metrics'!$B$2</f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1">
        <is>
          <t>ADR Uplift \ Cancellation Reduction</t>
        </is>
      </c>
      <c r="B1" s="1">
        <v>0.02</v>
      </c>
      <c r="C1" s="1">
        <v>0.04</v>
      </c>
      <c r="D1" s="1">
        <v>0.06</v>
      </c>
      <c r="E1" s="1">
        <v>0.08</v>
      </c>
      <c r="F1" s="1">
        <v>0.1</v>
      </c>
    </row>
    <row r="2">
      <c r="A2" s="2">
        <v>0.0</v>
      </c>
      <c r="B2" s="5">
        <f>'Base Metrics'!$B$5*B$1+'Base Metrics'!$B$2*$A2</f>
      </c>
      <c r="C2" s="5">
        <f>'Base Metrics'!$B$5*C$1+'Base Metrics'!$B$2*$A2</f>
      </c>
      <c r="D2" s="5">
        <f>'Base Metrics'!$B$5*D$1+'Base Metrics'!$B$2*$A2</f>
      </c>
      <c r="E2" s="5">
        <f>'Base Metrics'!$B$5*E$1+'Base Metrics'!$B$2*$A2</f>
      </c>
      <c r="F2" s="5">
        <f>'Base Metrics'!$B$5*F$1+'Base Metrics'!$B$2*$A2</f>
      </c>
    </row>
    <row r="3">
      <c r="A3" s="2">
        <v>0.01</v>
      </c>
      <c r="B3" s="5">
        <f>'Base Metrics'!$B$5*B$1+'Base Metrics'!$B$2*$A3</f>
      </c>
      <c r="C3" s="5">
        <f>'Base Metrics'!$B$5*C$1+'Base Metrics'!$B$2*$A3</f>
      </c>
      <c r="D3" s="5">
        <f>'Base Metrics'!$B$5*D$1+'Base Metrics'!$B$2*$A3</f>
      </c>
      <c r="E3" s="5">
        <f>'Base Metrics'!$B$5*E$1+'Base Metrics'!$B$2*$A3</f>
      </c>
      <c r="F3" s="5">
        <f>'Base Metrics'!$B$5*F$1+'Base Metrics'!$B$2*$A3</f>
      </c>
    </row>
    <row r="4">
      <c r="A4" s="2">
        <v>0.02</v>
      </c>
      <c r="B4" s="5">
        <f>'Base Metrics'!$B$5*B$1+'Base Metrics'!$B$2*$A4</f>
      </c>
      <c r="C4" s="5">
        <f>'Base Metrics'!$B$5*C$1+'Base Metrics'!$B$2*$A4</f>
      </c>
      <c r="D4" s="5">
        <f>'Base Metrics'!$B$5*D$1+'Base Metrics'!$B$2*$A4</f>
      </c>
      <c r="E4" s="5">
        <f>'Base Metrics'!$B$5*E$1+'Base Metrics'!$B$2*$A4</f>
      </c>
      <c r="F4" s="5">
        <f>'Base Metrics'!$B$5*F$1+'Base Metrics'!$B$2*$A4</f>
      </c>
    </row>
    <row r="5">
      <c r="A5" s="2">
        <v>0.03</v>
      </c>
      <c r="B5" s="5">
        <f>'Base Metrics'!$B$5*B$1+'Base Metrics'!$B$2*$A5</f>
      </c>
      <c r="C5" s="5">
        <f>'Base Metrics'!$B$5*C$1+'Base Metrics'!$B$2*$A5</f>
      </c>
      <c r="D5" s="5">
        <f>'Base Metrics'!$B$5*D$1+'Base Metrics'!$B$2*$A5</f>
      </c>
      <c r="E5" s="5">
        <f>'Base Metrics'!$B$5*E$1+'Base Metrics'!$B$2*$A5</f>
      </c>
      <c r="F5" s="5">
        <f>'Base Metrics'!$B$5*F$1+'Base Metrics'!$B$2*$A5</f>
      </c>
    </row>
    <row r="6">
      <c r="A6" s="2">
        <v>0.04</v>
      </c>
      <c r="B6" s="5">
        <f>'Base Metrics'!$B$5*B$1+'Base Metrics'!$B$2*$A6</f>
      </c>
      <c r="C6" s="5">
        <f>'Base Metrics'!$B$5*C$1+'Base Metrics'!$B$2*$A6</f>
      </c>
      <c r="D6" s="5">
        <f>'Base Metrics'!$B$5*D$1+'Base Metrics'!$B$2*$A6</f>
      </c>
      <c r="E6" s="5">
        <f>'Base Metrics'!$B$5*E$1+'Base Metrics'!$B$2*$A6</f>
      </c>
      <c r="F6" s="5">
        <f>'Base Metrics'!$B$5*F$1+'Base Metrics'!$B$2*$A6</f>
      </c>
    </row>
    <row r="7">
      <c r="A7" s="2">
        <v>0.05</v>
      </c>
      <c r="B7" s="5">
        <f>'Base Metrics'!$B$5*B$1+'Base Metrics'!$B$2*$A7</f>
      </c>
      <c r="C7" s="5">
        <f>'Base Metrics'!$B$5*C$1+'Base Metrics'!$B$2*$A7</f>
      </c>
      <c r="D7" s="5">
        <f>'Base Metrics'!$B$5*D$1+'Base Metrics'!$B$2*$A7</f>
      </c>
      <c r="E7" s="5">
        <f>'Base Metrics'!$B$5*E$1+'Base Metrics'!$B$2*$A7</f>
      </c>
      <c r="F7" s="5">
        <f>'Base Metrics'!$B$5*F$1+'Base Metrics'!$B$2*$A7</f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cols>
    <col min="1" max="10" width="24" customWidth="1"/>
  </cols>
  <sheetData>
    <row r="1">
      <c r="A1" t="inlineStr" s="1">
        <is>
          <t>Rank</t>
        </is>
      </c>
      <c r="B1" t="inlineStr" s="1">
        <is>
          <t>Opportunity</t>
        </is>
      </c>
      <c r="C1" t="inlineStr" s="1">
        <is>
          <t>Bookings</t>
        </is>
      </c>
      <c r="D1" t="inlineStr" s="1">
        <is>
          <t>Cancellation Rate</t>
        </is>
      </c>
      <c r="E1" t="inlineStr" s="1">
        <is>
          <t>Lost Revenue</t>
        </is>
      </c>
      <c r="F1" t="inlineStr" s="1">
        <is>
          <t>Recoverable Revenue</t>
        </is>
      </c>
      <c r="G1" t="inlineStr" s="1">
        <is>
          <t>Recommended Intervention</t>
        </is>
      </c>
    </row>
    <row r="2">
      <c r="A2">
        <v>1</v>
      </c>
      <c r="B2" t="inlineStr">
        <is>
          <t>Resort Hotel | Online TA | TA/TO | 181+ days</t>
        </is>
      </c>
      <c r="C2">
        <v>2593</v>
      </c>
      <c r="D2" s="6">
        <v>0.5677</v>
      </c>
      <c r="E2" s="5">
        <v>1195973.68</v>
      </c>
      <c r="F2" s="5">
        <v>153351.17</v>
      </c>
      <c r="G2" t="inlineStr">
        <is>
          <t>Pilot staged deposit or reconfirmation workflow for high-lead OTA bookings</t>
        </is>
      </c>
    </row>
    <row r="3">
      <c r="A3">
        <v>2</v>
      </c>
      <c r="B3" t="inlineStr">
        <is>
          <t>City Hotel | Online TA | TA/TO | 31-90 days</t>
        </is>
      </c>
      <c r="C3">
        <v>11728</v>
      </c>
      <c r="D3" s="6">
        <v>0.3973</v>
      </c>
      <c r="E3" s="5">
        <v>1922646.76</v>
      </c>
      <c r="F3" s="5">
        <v>115358.81</v>
      </c>
      <c r="G3" t="inlineStr">
        <is>
          <t>Shift demand toward direct booking offer and loyalty capture</t>
        </is>
      </c>
    </row>
    <row r="4">
      <c r="A4">
        <v>3</v>
      </c>
      <c r="B4" t="inlineStr">
        <is>
          <t>City Hotel | Online TA | TA/TO | 91-180 days</t>
        </is>
      </c>
      <c r="C4">
        <v>9414</v>
      </c>
      <c r="D4" s="6">
        <v>0.4302</v>
      </c>
      <c r="E4" s="5">
        <v>1845763.3</v>
      </c>
      <c r="F4" s="5">
        <v>110745.8</v>
      </c>
      <c r="G4" t="inlineStr">
        <is>
          <t>Pilot staged deposit or reconfirmation workflow for high-lead OTA bookings</t>
        </is>
      </c>
    </row>
    <row r="5">
      <c r="A5">
        <v>4</v>
      </c>
      <c r="B5" t="inlineStr">
        <is>
          <t>City Hotel | Online TA | TA/TO | 181+ days</t>
        </is>
      </c>
      <c r="C5">
        <v>4874</v>
      </c>
      <c r="D5" s="6">
        <v>0.5178</v>
      </c>
      <c r="E5" s="5">
        <v>1120106.14</v>
      </c>
      <c r="F5" s="5">
        <v>107341.78</v>
      </c>
      <c r="G5" t="inlineStr">
        <is>
          <t>Pilot staged deposit or reconfirmation workflow for high-lead OTA bookings</t>
        </is>
      </c>
    </row>
    <row r="6">
      <c r="A6">
        <v>5</v>
      </c>
      <c r="B6" t="inlineStr">
        <is>
          <t>Resort Hotel | Online TA | TA/TO | 91-180 days</t>
        </is>
      </c>
      <c r="C6">
        <v>3801</v>
      </c>
      <c r="D6" s="6">
        <v>0.4828</v>
      </c>
      <c r="E6" s="5">
        <v>1326098.55</v>
      </c>
      <c r="F6" s="5">
        <v>96842.88</v>
      </c>
      <c r="G6" t="inlineStr">
        <is>
          <t>Pilot staged deposit or reconfirmation workflow for high-lead OTA bookings</t>
        </is>
      </c>
    </row>
    <row r="7">
      <c r="A7">
        <v>6</v>
      </c>
      <c r="B7" t="inlineStr">
        <is>
          <t>City Hotel | Online TA | TA/TO | 8-30 days</t>
        </is>
      </c>
      <c r="C7">
        <v>7620</v>
      </c>
      <c r="D7" s="6">
        <v>0.3446</v>
      </c>
      <c r="E7" s="5">
        <v>1098830.96</v>
      </c>
      <c r="F7" s="5">
        <v>65929.86</v>
      </c>
      <c r="G7" t="inlineStr">
        <is>
          <t>Shift demand toward direct booking offer and loyalty capture</t>
        </is>
      </c>
    </row>
    <row r="8">
      <c r="A8">
        <v>7</v>
      </c>
      <c r="B8" t="inlineStr">
        <is>
          <t>Resort Hotel | Online TA | TA/TO | 31-90 days</t>
        </is>
      </c>
      <c r="C8">
        <v>4675</v>
      </c>
      <c r="D8" s="6">
        <v>0.3959</v>
      </c>
      <c r="E8" s="5">
        <v>1038895.62</v>
      </c>
      <c r="F8" s="5">
        <v>62333.74</v>
      </c>
      <c r="G8" t="inlineStr">
        <is>
          <t>Shift demand toward direct booking offer and loyalty capture</t>
        </is>
      </c>
    </row>
    <row r="9">
      <c r="A9">
        <v>8</v>
      </c>
      <c r="B9" t="inlineStr">
        <is>
          <t>City Hotel | Groups | TA/TO | 181+ days</t>
        </is>
      </c>
      <c r="C9">
        <v>4377</v>
      </c>
      <c r="D9" s="6">
        <v>1.0</v>
      </c>
      <c r="E9" s="5">
        <v>124453.94</v>
      </c>
      <c r="F9" s="5">
        <v>43558.88</v>
      </c>
      <c r="G9" t="inlineStr">
        <is>
          <t>Create resale and capacity-recapture workflow for canceled non-refundable inventory</t>
        </is>
      </c>
    </row>
    <row r="10">
      <c r="A10">
        <v>9</v>
      </c>
      <c r="B10" t="inlineStr">
        <is>
          <t>City Hotel | Offline TA/TO | TA/TO | 181+ days</t>
        </is>
      </c>
      <c r="C10">
        <v>2249</v>
      </c>
      <c r="D10" s="6">
        <v>0.9996</v>
      </c>
      <c r="E10" s="5">
        <v>87111.09</v>
      </c>
      <c r="F10" s="5">
        <v>30488.88</v>
      </c>
      <c r="G10" t="inlineStr">
        <is>
          <t>Create resale and capacity-recapture workflow for canceled non-refundable inventory</t>
        </is>
      </c>
    </row>
    <row r="11">
      <c r="A11">
        <v>10</v>
      </c>
      <c r="B11" t="inlineStr">
        <is>
          <t>City Hotel | Groups | TA/TO | 91-180 days</t>
        </is>
      </c>
      <c r="C11">
        <v>1699</v>
      </c>
      <c r="D11" s="6">
        <v>1.0</v>
      </c>
      <c r="E11" s="5">
        <v>79151.43</v>
      </c>
      <c r="F11" s="5">
        <v>27703.0</v>
      </c>
      <c r="G11" t="inlineStr">
        <is>
          <t>Create resale and capacity-recapture workflow for canceled non-refundable inventory</t>
        </is>
      </c>
    </row>
  </sheetData>
</worksheet>
</file>